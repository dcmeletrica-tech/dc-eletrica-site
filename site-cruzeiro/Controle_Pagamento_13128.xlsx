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27" documentId="11_6B4885879161F6CEEB3B98154B9B367C0B20C7DA" xr6:coauthVersionLast="47" xr6:coauthVersionMax="47" xr10:uidLastSave="{65C5C168-A4CD-43C2-B6AF-D7E1793DBC3A}"/>
  <bookViews>
    <workbookView xWindow="0" yWindow="0" windowWidth="0" windowHeight="0" xr2:uid="{00000000-000D-0000-FFFF-FFFF00000000}"/>
  </bookViews>
  <sheets>
    <sheet name="Controle de Paga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I4" i="1"/>
  <c r="I5" i="1"/>
  <c r="D2" i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E15" i="1" l="1"/>
  <c r="I6" i="1"/>
</calcChain>
</file>

<file path=xl/sharedStrings.xml><?xml version="1.0" encoding="utf-8"?>
<sst xmlns="http://schemas.openxmlformats.org/spreadsheetml/2006/main" count="30" uniqueCount="30">
  <si>
    <t>Parcela</t>
  </si>
  <si>
    <t>Mês/Ano</t>
  </si>
  <si>
    <t>Valor Pago (R$)</t>
  </si>
  <si>
    <t>Saldo Anterior (R$)</t>
  </si>
  <si>
    <t>Saldo Restante (R$)</t>
  </si>
  <si>
    <t>Parcela Sugerida (R$)</t>
  </si>
  <si>
    <t>RESUMO</t>
  </si>
  <si>
    <t>set/2026</t>
  </si>
  <si>
    <t>Valor Total da Dívida:</t>
  </si>
  <si>
    <t>out/2026</t>
  </si>
  <si>
    <t>Número de Parcelas:</t>
  </si>
  <si>
    <t>nov/2026</t>
  </si>
  <si>
    <t>Parcela Base (÷12):</t>
  </si>
  <si>
    <t>dez/2026</t>
  </si>
  <si>
    <t>Total Já Pago:</t>
  </si>
  <si>
    <t>jan/2027</t>
  </si>
  <si>
    <t>Saldo Devedor Atual:</t>
  </si>
  <si>
    <t>fev/2027</t>
  </si>
  <si>
    <t>mar/2027</t>
  </si>
  <si>
    <t>COMO USAR</t>
  </si>
  <si>
    <t>abr/2027</t>
  </si>
  <si>
    <t>1. Preencha a coluna Valor Pago</t>
  </si>
  <si>
    <t>mai/2027</t>
  </si>
  <si>
    <t>2. Pagar mais reduz as demais</t>
  </si>
  <si>
    <t>jun/2027</t>
  </si>
  <si>
    <t>3. Pagar menos divide o saldo</t>
  </si>
  <si>
    <t>jul/2027</t>
  </si>
  <si>
    <t>4. Coluna F mostra quanto pagar</t>
  </si>
  <si>
    <t>ago/2027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</si>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</sst>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71E63E-1251-49E9-976F-51F4A56C09B3}">
  <we:reference id="WA200009404" version="1.0.0.8" store="pt-br" storeType="omex"/>
  <we:alternateReferences>
    <we:reference id="WA200009404" version="1.0.0.8" store="pt-br" storeType="omex"/>
  </we:alternateReferences>
  <we:properties>
    <we:property name="claude.fileId" value="&quot;56f3d32e-e1a7-460b-9efb-2519c5041b1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" sqref="C1"/>
    </sheetView>
  </sheetViews>
  <sheetFormatPr defaultRowHeight="15"/>
  <cols>
    <col min="1" max="1" width="7.5703125" bestFit="1" customWidth="1"/>
    <col min="2" max="2" width="9.85546875" bestFit="1" customWidth="1"/>
    <col min="3" max="3" width="14.7109375" bestFit="1" customWidth="1"/>
    <col min="4" max="4" width="18" bestFit="1" customWidth="1"/>
    <col min="5" max="5" width="18.42578125" bestFit="1" customWidth="1"/>
    <col min="6" max="6" width="19.85546875" bestFit="1" customWidth="1"/>
    <col min="8" max="8" width="30.28515625" bestFit="1" customWidth="1"/>
    <col min="9" max="9" width="6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9">
      <c r="A2">
        <v>1</v>
      </c>
      <c r="B2" t="s">
        <v>7</v>
      </c>
      <c r="C2" s="1"/>
      <c r="D2" s="1">
        <f>13128</f>
        <v>13128</v>
      </c>
      <c r="E2" s="1">
        <f>D2-IF(ISBLANK(C2),0,C2)</f>
        <v>13128</v>
      </c>
      <c r="F2" s="1">
        <f>IF((12-A2)&gt;0,E2/(12-A2),E2)</f>
        <v>1193.4545454545455</v>
      </c>
      <c r="H2" t="s">
        <v>8</v>
      </c>
      <c r="I2">
        <v>13128</v>
      </c>
    </row>
    <row r="3" spans="1:9">
      <c r="A3">
        <v>2</v>
      </c>
      <c r="B3" t="s">
        <v>9</v>
      </c>
      <c r="C3" s="1"/>
      <c r="D3" s="1">
        <f>E2</f>
        <v>13128</v>
      </c>
      <c r="E3" s="1">
        <f>D3-IF(ISBLANK(C3),0,C3)</f>
        <v>13128</v>
      </c>
      <c r="F3" s="1">
        <f>IF((12-A3)&gt;0,E3/(12-A3),E3)</f>
        <v>1312.8</v>
      </c>
      <c r="H3" t="s">
        <v>10</v>
      </c>
      <c r="I3">
        <v>12</v>
      </c>
    </row>
    <row r="4" spans="1:9">
      <c r="A4">
        <v>3</v>
      </c>
      <c r="B4" t="s">
        <v>11</v>
      </c>
      <c r="C4" s="1"/>
      <c r="D4" s="1">
        <f>E3</f>
        <v>13128</v>
      </c>
      <c r="E4" s="1">
        <f>D4-IF(ISBLANK(C4),0,C4)</f>
        <v>13128</v>
      </c>
      <c r="F4" s="1">
        <f>IF((12-A4)&gt;0,E4/(12-A4),E4)</f>
        <v>1458.6666666666667</v>
      </c>
      <c r="H4" t="s">
        <v>12</v>
      </c>
      <c r="I4">
        <f>13128/12</f>
        <v>1094</v>
      </c>
    </row>
    <row r="5" spans="1:9">
      <c r="A5">
        <v>4</v>
      </c>
      <c r="B5" t="s">
        <v>13</v>
      </c>
      <c r="C5" s="1"/>
      <c r="D5" s="1">
        <f>E4</f>
        <v>13128</v>
      </c>
      <c r="E5" s="1">
        <f>D5-IF(ISBLANK(C5),0,C5)</f>
        <v>13128</v>
      </c>
      <c r="F5" s="1">
        <f>IF((12-A5)&gt;0,E5/(12-A5),E5)</f>
        <v>1641</v>
      </c>
      <c r="H5" t="s">
        <v>14</v>
      </c>
      <c r="I5">
        <f>SUM(C2:C13)</f>
        <v>0</v>
      </c>
    </row>
    <row r="6" spans="1:9">
      <c r="A6">
        <v>5</v>
      </c>
      <c r="B6" t="s">
        <v>15</v>
      </c>
      <c r="C6" s="1"/>
      <c r="D6" s="1">
        <f>E5</f>
        <v>13128</v>
      </c>
      <c r="E6" s="1">
        <f>D6-IF(ISBLANK(C6),0,C6)</f>
        <v>13128</v>
      </c>
      <c r="F6" s="1">
        <f>IF((12-A6)&gt;0,E6/(12-A6),E6)</f>
        <v>1875.4285714285713</v>
      </c>
      <c r="H6" t="s">
        <v>16</v>
      </c>
      <c r="I6">
        <f>E13</f>
        <v>13128</v>
      </c>
    </row>
    <row r="7" spans="1:9">
      <c r="A7">
        <v>6</v>
      </c>
      <c r="B7" t="s">
        <v>17</v>
      </c>
      <c r="C7" s="1"/>
      <c r="D7" s="1">
        <f>E6</f>
        <v>13128</v>
      </c>
      <c r="E7" s="1">
        <f>D7-IF(ISBLANK(C7),0,C7)</f>
        <v>13128</v>
      </c>
      <c r="F7" s="1">
        <f>IF((12-A7)&gt;0,E7/(12-A7),E7)</f>
        <v>2188</v>
      </c>
    </row>
    <row r="8" spans="1:9">
      <c r="A8">
        <v>7</v>
      </c>
      <c r="B8" t="s">
        <v>18</v>
      </c>
      <c r="C8" s="1"/>
      <c r="D8" s="1">
        <f>E7</f>
        <v>13128</v>
      </c>
      <c r="E8" s="1">
        <f>D8-IF(ISBLANK(C8),0,C8)</f>
        <v>13128</v>
      </c>
      <c r="F8" s="1">
        <f>IF((12-A8)&gt;0,E8/(12-A8),E8)</f>
        <v>2625.6</v>
      </c>
      <c r="H8" t="s">
        <v>19</v>
      </c>
    </row>
    <row r="9" spans="1:9">
      <c r="A9">
        <v>8</v>
      </c>
      <c r="B9" t="s">
        <v>20</v>
      </c>
      <c r="C9" s="1"/>
      <c r="D9" s="1">
        <f>E8</f>
        <v>13128</v>
      </c>
      <c r="E9" s="1">
        <f>D9-IF(ISBLANK(C9),0,C9)</f>
        <v>13128</v>
      </c>
      <c r="F9" s="1">
        <f>IF((12-A9)&gt;0,E9/(12-A9),E9)</f>
        <v>3282</v>
      </c>
      <c r="H9" t="s">
        <v>21</v>
      </c>
    </row>
    <row r="10" spans="1:9">
      <c r="A10">
        <v>9</v>
      </c>
      <c r="B10" t="s">
        <v>22</v>
      </c>
      <c r="C10" s="1"/>
      <c r="D10" s="1">
        <f>E9</f>
        <v>13128</v>
      </c>
      <c r="E10" s="1">
        <f>D10-IF(ISBLANK(C10),0,C10)</f>
        <v>13128</v>
      </c>
      <c r="F10" s="1">
        <f>IF((12-A10)&gt;0,E10/(12-A10),E10)</f>
        <v>4376</v>
      </c>
      <c r="H10" t="s">
        <v>23</v>
      </c>
    </row>
    <row r="11" spans="1:9">
      <c r="A11">
        <v>10</v>
      </c>
      <c r="B11" t="s">
        <v>24</v>
      </c>
      <c r="C11" s="1"/>
      <c r="D11" s="1">
        <f>E10</f>
        <v>13128</v>
      </c>
      <c r="E11" s="1">
        <f>D11-IF(ISBLANK(C11),0,C11)</f>
        <v>13128</v>
      </c>
      <c r="F11" s="1">
        <f>IF((12-A11)&gt;0,E11/(12-A11),E11)</f>
        <v>6564</v>
      </c>
      <c r="H11" t="s">
        <v>25</v>
      </c>
    </row>
    <row r="12" spans="1:9">
      <c r="A12">
        <v>11</v>
      </c>
      <c r="B12" t="s">
        <v>26</v>
      </c>
      <c r="C12" s="1"/>
      <c r="D12" s="1">
        <f>E11</f>
        <v>13128</v>
      </c>
      <c r="E12" s="1">
        <f>D12-IF(ISBLANK(C12),0,C12)</f>
        <v>13128</v>
      </c>
      <c r="F12" s="1">
        <f>IF((12-A12)&gt;0,E12/(12-A12),E12)</f>
        <v>13128</v>
      </c>
      <c r="H12" t="s">
        <v>27</v>
      </c>
    </row>
    <row r="13" spans="1:9">
      <c r="A13">
        <v>12</v>
      </c>
      <c r="B13" t="s">
        <v>28</v>
      </c>
      <c r="C13" s="1"/>
      <c r="D13" s="1">
        <f>E12</f>
        <v>13128</v>
      </c>
      <c r="E13" s="1">
        <f>D13-IF(ISBLANK(C13),0,C13)</f>
        <v>13128</v>
      </c>
      <c r="F13" s="1">
        <f>E13</f>
        <v>13128</v>
      </c>
    </row>
    <row r="15" spans="1:9">
      <c r="A15" t="s">
        <v>29</v>
      </c>
      <c r="C15">
        <f>SUM(C2:C13)</f>
        <v>0</v>
      </c>
      <c r="E15">
        <f>E13</f>
        <v>13128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Douglas Melo | QUALITY MACHINES</cp:lastModifiedBy>
  <cp:revision/>
  <dcterms:created xsi:type="dcterms:W3CDTF">2026-08-06T14:16:00Z</dcterms:created>
  <dcterms:modified xsi:type="dcterms:W3CDTF">2026-08-06T19:58:31Z</dcterms:modified>
  <cp:category/>
  <cp:contentStatus/>
</cp:coreProperties>
</file>